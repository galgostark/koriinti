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Argas" sheetId="1" state="visible" r:id="rId3"/>
    <sheet name="Contactos" sheetId="2" state="visible" r:id="rId4"/>
    <sheet name="Resumen" sheetId="3" state="visible" r:id="rId5"/>
    <sheet name="informacion app" sheetId="4" state="visible" r:id="rId6"/>
    <sheet name="Cuadro para app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<sst xmlns="http://schemas.openxmlformats.org/spreadsheetml/2006/main" count="296" uniqueCount="223">
  <si>
    <t xml:space="preserve">c</t>
  </si>
  <si>
    <t xml:space="preserve">AU 34.28</t>
  </si>
  <si>
    <t xml:space="preserve">AG </t>
  </si>
  <si>
    <t xml:space="preserve">Fecha</t>
  </si>
  <si>
    <t xml:space="preserve">codigo Carga</t>
  </si>
  <si>
    <t xml:space="preserve">Proveedor</t>
  </si>
  <si>
    <t xml:space="preserve">Ubicación</t>
  </si>
  <si>
    <t xml:space="preserve">ley(onz/tn)</t>
  </si>
  <si>
    <t xml:space="preserve">ley(gr/tn)</t>
  </si>
  <si>
    <t xml:space="preserve">Toneladas</t>
  </si>
  <si>
    <t xml:space="preserve">precio de liquidacion</t>
  </si>
  <si>
    <t xml:space="preserve">precio de minero</t>
  </si>
  <si>
    <t xml:space="preserve">utilidad</t>
  </si>
  <si>
    <t xml:space="preserve">Ganacia total($)</t>
  </si>
  <si>
    <t xml:space="preserve">Estado </t>
  </si>
  <si>
    <t xml:space="preserve">MOLINIO</t>
  </si>
  <si>
    <t xml:space="preserve">Observaciones</t>
  </si>
  <si>
    <t xml:space="preserve">nelson</t>
  </si>
  <si>
    <t xml:space="preserve">ancash</t>
  </si>
  <si>
    <t xml:space="preserve">cancelado</t>
  </si>
  <si>
    <t xml:space="preserve">FABIO</t>
  </si>
  <si>
    <t xml:space="preserve">Falta</t>
  </si>
  <si>
    <t xml:space="preserve">Cancelado</t>
  </si>
  <si>
    <t xml:space="preserve">amigo nelson</t>
  </si>
  <si>
    <t xml:space="preserve">FLORES</t>
  </si>
  <si>
    <t xml:space="preserve">No, ley muy baja</t>
  </si>
  <si>
    <t xml:space="preserve">ON 2046</t>
  </si>
  <si>
    <t xml:space="preserve">ronald</t>
  </si>
  <si>
    <t xml:space="preserve">hualgayoc</t>
  </si>
  <si>
    <t xml:space="preserve">GMC</t>
  </si>
  <si>
    <t xml:space="preserve">ON 2044</t>
  </si>
  <si>
    <t xml:space="preserve">HNS</t>
  </si>
  <si>
    <t xml:space="preserve">falta</t>
  </si>
  <si>
    <t xml:space="preserve">rafael silva</t>
  </si>
  <si>
    <t xml:space="preserve">la ocsha</t>
  </si>
  <si>
    <t xml:space="preserve">segundo papa</t>
  </si>
  <si>
    <t xml:space="preserve">metaya</t>
  </si>
  <si>
    <t xml:space="preserve">cargas que s deben de daniel son dos comisiones</t>
  </si>
  <si>
    <t xml:space="preserve">cargas recientes mes de agosto con mirian 150 cocos y ronald y nelson</t>
  </si>
  <si>
    <t xml:space="preserve">nelson bajo semana de 7/9 dos cargas muestreandose </t>
  </si>
  <si>
    <t xml:space="preserve">cliente gloria 80000 toneladas ley baja cerrar</t>
  </si>
  <si>
    <t xml:space="preserve">conversacion con willian leyes bajas</t>
  </si>
  <si>
    <t xml:space="preserve">señora bñanca tiene 6 cargas abajo para muestrear</t>
  </si>
  <si>
    <t xml:space="preserve">- establecer conversacion con amigo de wilser </t>
  </si>
  <si>
    <t xml:space="preserve">- dar seguimiento a rios </t>
  </si>
  <si>
    <t xml:space="preserve">- conversar con policia edgar y mario andavak</t>
  </si>
  <si>
    <t xml:space="preserve">- escribirle a didier</t>
  </si>
  <si>
    <t xml:space="preserve">- herbert de la flor </t>
  </si>
  <si>
    <t xml:space="preserve">- </t>
  </si>
  <si>
    <t xml:space="preserve">Tipo</t>
  </si>
  <si>
    <t xml:space="preserve">Nombre</t>
  </si>
  <si>
    <t xml:space="preserve">Teléfono</t>
  </si>
  <si>
    <t xml:space="preserve">Mineral</t>
  </si>
  <si>
    <t xml:space="preserve">Volumen</t>
  </si>
  <si>
    <t xml:space="preserve">Frecuencia</t>
  </si>
  <si>
    <t xml:space="preserve">Confianza(1-5)</t>
  </si>
  <si>
    <t xml:space="preserve">Ultimo Contacto</t>
  </si>
  <si>
    <t xml:space="preserve">Notas</t>
  </si>
  <si>
    <t xml:space="preserve">ronald cajabamba</t>
  </si>
  <si>
    <t xml:space="preserve">shawindo</t>
  </si>
  <si>
    <t xml:space="preserve">cobre</t>
  </si>
  <si>
    <t xml:space="preserve">semanal</t>
  </si>
  <si>
    <t xml:space="preserve">Enero</t>
  </si>
  <si>
    <t xml:space="preserve">En “Notas” escribe cosas como:</t>
  </si>
  <si>
    <t xml:space="preserve">edgar quito</t>
  </si>
  <si>
    <t xml:space="preserve">Sorochuco</t>
  </si>
  <si>
    <t xml:space="preserve">Oro</t>
  </si>
  <si>
    <t xml:space="preserve">“Le gusta pago rápido” </t>
  </si>
  <si>
    <t xml:space="preserve">rafael Silva</t>
  </si>
  <si>
    <t xml:space="preserve">sorochuco</t>
  </si>
  <si>
    <t xml:space="preserve">oro</t>
  </si>
  <si>
    <t xml:space="preserve">abril</t>
  </si>
  <si>
    <t xml:space="preserve">primera carga </t>
  </si>
  <si>
    <t xml:space="preserve">“Desconfía al inicio” </t>
  </si>
  <si>
    <t xml:space="preserve">ronald </t>
  </si>
  <si>
    <t xml:space="preserve">quincenal</t>
  </si>
  <si>
    <t xml:space="preserve">siempre</t>
  </si>
  <si>
    <t xml:space="preserve">proxima carag</t>
  </si>
  <si>
    <t xml:space="preserve">proxima carga</t>
  </si>
  <si>
    <t xml:space="preserve">Amigo nelson</t>
  </si>
  <si>
    <t xml:space="preserve">frecuente</t>
  </si>
  <si>
    <t xml:space="preserve">negociando</t>
  </si>
  <si>
    <t xml:space="preserve">fonzy Cabrera</t>
  </si>
  <si>
    <t xml:space="preserve">cajamarca</t>
  </si>
  <si>
    <t xml:space="preserve">conoce gente</t>
  </si>
  <si>
    <t xml:space="preserve">“Tiene buen volumen cada 15 días”</t>
  </si>
  <si>
    <t xml:space="preserve">Daniel Alva</t>
  </si>
  <si>
    <t xml:space="preserve">profesor geologo</t>
  </si>
  <si>
    <t xml:space="preserve">DanyDaniel</t>
  </si>
  <si>
    <t xml:space="preserve">profesor minas</t>
  </si>
  <si>
    <t xml:space="preserve">Franklin</t>
  </si>
  <si>
    <t xml:space="preserve">marzo</t>
  </si>
  <si>
    <t xml:space="preserve">tiene labor nuevo contacto</t>
  </si>
  <si>
    <t xml:space="preserve">Daniel bello</t>
  </si>
  <si>
    <t xml:space="preserve">Solano</t>
  </si>
  <si>
    <t xml:space="preserve">geologo conoce gente</t>
  </si>
  <si>
    <t xml:space="preserve">Javier Alva</t>
  </si>
  <si>
    <t xml:space="preserve">enero</t>
  </si>
  <si>
    <t xml:space="preserve">tiene reinfos y labores </t>
  </si>
  <si>
    <t xml:space="preserve">Hebert de la flor</t>
  </si>
  <si>
    <t xml:space="preserve">chilete</t>
  </si>
  <si>
    <t xml:space="preserve">Wilser </t>
  </si>
  <si>
    <t xml:space="preserve">Vicente rios</t>
  </si>
  <si>
    <t xml:space="preserve">Cristopher mina</t>
  </si>
  <si>
    <t xml:space="preserve">lima</t>
  </si>
  <si>
    <t xml:space="preserve">amigo negro dedica mina</t>
  </si>
  <si>
    <t xml:space="preserve">Jose rios alaya</t>
  </si>
  <si>
    <t xml:space="preserve">sartenes</t>
  </si>
  <si>
    <t xml:space="preserve">Sebastian negron</t>
  </si>
  <si>
    <t xml:space="preserve">pataz</t>
  </si>
  <si>
    <t xml:space="preserve">Ana paula fonzy</t>
  </si>
  <si>
    <t xml:space="preserve">compra y vende</t>
  </si>
  <si>
    <t xml:space="preserve">Benavides poli</t>
  </si>
  <si>
    <t xml:space="preserve">socio de edgar quito</t>
  </si>
  <si>
    <t xml:space="preserve">Didier Diaz </t>
  </si>
  <si>
    <t xml:space="preserve">tandayoc</t>
  </si>
  <si>
    <t xml:space="preserve">mensual</t>
  </si>
  <si>
    <t xml:space="preserve">Belic (fonzy)</t>
  </si>
  <si>
    <t xml:space="preserve">bronce</t>
  </si>
  <si>
    <t xml:space="preserve">amigo fonzy</t>
  </si>
  <si>
    <t xml:space="preserve">cristofer spelucin</t>
  </si>
  <si>
    <t xml:space="preserve">heber peluqueria</t>
  </si>
  <si>
    <t xml:space="preserve">nueva zona por chamis</t>
  </si>
  <si>
    <t xml:space="preserve">emma</t>
  </si>
  <si>
    <t xml:space="preserve">pabel contacto de sanignacion</t>
  </si>
  <si>
    <t xml:space="preserve">los polo</t>
  </si>
  <si>
    <t xml:space="preserve">cajabamba</t>
  </si>
  <si>
    <t xml:space="preserve">visitamos tenian cobre</t>
  </si>
  <si>
    <t xml:space="preserve">percy celendin</t>
  </si>
  <si>
    <t xml:space="preserve">amigo de edwuin celendin</t>
  </si>
  <si>
    <t xml:space="preserve">Gustavo Portacarrero</t>
  </si>
  <si>
    <t xml:space="preserve">amigo de cajamarca</t>
  </si>
  <si>
    <t xml:space="preserve">Guillermo arenaza</t>
  </si>
  <si>
    <t xml:space="preserve">contacto fonzy</t>
  </si>
  <si>
    <t xml:space="preserve">Oscar davila </t>
  </si>
  <si>
    <t xml:space="preserve">mejor amigo estrategia con el gordo</t>
  </si>
  <si>
    <t xml:space="preserve">Ronald Ortiz</t>
  </si>
  <si>
    <t xml:space="preserve">contumaza</t>
  </si>
  <si>
    <t xml:space="preserve">mi amigo de promo</t>
  </si>
  <si>
    <t xml:space="preserve">Leo (hebert)</t>
  </si>
  <si>
    <t xml:space="preserve">contacto herbert</t>
  </si>
  <si>
    <t xml:space="preserve">Carlos enrique cha</t>
  </si>
  <si>
    <t xml:space="preserve">san pablo</t>
  </si>
  <si>
    <t xml:space="preserve">futuro alcalde contacto</t>
  </si>
  <si>
    <t xml:space="preserve">Tavo Antinory</t>
  </si>
  <si>
    <t xml:space="preserve">Chino silva</t>
  </si>
  <si>
    <t xml:space="preserve">concoe gente</t>
  </si>
  <si>
    <t xml:space="preserve">Mauricio hco</t>
  </si>
  <si>
    <t xml:space="preserve">buldibuyu</t>
  </si>
  <si>
    <t xml:space="preserve">freddy soto </t>
  </si>
  <si>
    <t xml:space="preserve">willlian alumno</t>
  </si>
  <si>
    <t xml:space="preserve">Mirian alcaldesa</t>
  </si>
  <si>
    <t xml:space="preserve">cliente solano</t>
  </si>
  <si>
    <t xml:space="preserve">GLORIA la arena</t>
  </si>
  <si>
    <t xml:space="preserve">papa de franklin</t>
  </si>
  <si>
    <t xml:space="preserve">rafael silva hablo </t>
  </si>
  <si>
    <t xml:space="preserve">Semana</t>
  </si>
  <si>
    <t xml:space="preserve">Total Cargas</t>
  </si>
  <si>
    <t xml:space="preserve">Toneladas Totales</t>
  </si>
  <si>
    <t xml:space="preserve">Ganancia Total($)</t>
  </si>
  <si>
    <t xml:space="preserve">Promedio por Carga($)</t>
  </si>
  <si>
    <t xml:space="preserve">🔥 FÓRMULAS</t>
  </si>
  <si>
    <t xml:space="preserve">Total cargas → contar filas </t>
  </si>
  <si>
    <t xml:space="preserve">Ganancia total → suma </t>
  </si>
  <si>
    <t xml:space="preserve">Promedio → Ganancia / cargas</t>
  </si>
  <si>
    <t xml:space="preserve">Modulos Esenciales para la App</t>
  </si>
  <si>
    <t xml:space="preserve">a</t>
  </si>
  <si>
    <t xml:space="preserve">Gestion de Clientes y proveedores (contacto):</t>
  </si>
  <si>
    <r>
      <rPr>
        <sz val="10"/>
        <rFont val="Arial"/>
        <family val="2"/>
        <charset val="1"/>
      </rPr>
      <t xml:space="preserve">-- </t>
    </r>
    <r>
      <rPr>
        <i val="true"/>
        <sz val="10"/>
        <rFont val="Arial"/>
        <family val="2"/>
        <charset val="1"/>
      </rPr>
      <t xml:space="preserve">Directorio de Vendedores:  </t>
    </r>
    <r>
      <rPr>
        <sz val="10"/>
        <rFont val="Arial"/>
        <family val="2"/>
        <charset val="1"/>
      </rPr>
      <t xml:space="preserve">Dueños de concesiones o mineros informales/ formalizados, ubicación del yacimiento, ley promedio del mineral </t>
    </r>
    <r>
      <rPr>
        <b val="true"/>
        <sz val="10"/>
        <rFont val="Arial"/>
        <family val="2"/>
        <charset val="1"/>
      </rPr>
      <t xml:space="preserve">(</t>
    </r>
    <r>
      <rPr>
        <sz val="10"/>
        <rFont val="Arial"/>
        <family val="2"/>
        <charset val="1"/>
      </rPr>
      <t xml:space="preserve">gr/t o % de ley</t>
    </r>
    <r>
      <rPr>
        <b val="true"/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</si>
  <si>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-- </t>
    </r>
    <r>
      <rPr>
        <i val="true"/>
        <sz val="10"/>
        <rFont val="Arial"/>
        <family val="2"/>
        <charset val="1"/>
      </rPr>
      <t xml:space="preserve">Directorio de Plantas: </t>
    </r>
    <r>
      <rPr>
        <sz val="10"/>
        <rFont val="Arial"/>
        <family val="2"/>
        <charset val="1"/>
      </rPr>
      <t xml:space="preserve"> Ubicación de la splantas de beneficio, capacidad de procesamiento diario, requisitos de recepción tarifas de maquila.</t>
    </r>
  </si>
  <si>
    <t xml:space="preserve">b</t>
  </si>
  <si>
    <t xml:space="preserve">Pieline de Operaciones (Estado de los Lotes)</t>
  </si>
  <si>
    <t xml:space="preserve">-- Visualizador en formato de Kamban</t>
  </si>
  <si>
    <t xml:space="preserve">En negociación --&gt; En transito</t>
  </si>
  <si>
    <t xml:space="preserve">Guía de Remisión → En muestreo/ensaye</t>
  </si>
  <si>
    <t xml:space="preserve">En liquidación → Cerrado.</t>
  </si>
  <si>
    <t xml:space="preserve">Calculadora de Comisiones y liquidaciones </t>
  </si>
  <si>
    <t xml:space="preserve">-- Registro de tonelaje enviado (T), porcentaje de recuperación, precio internacional  (ej, fixing de oro/cobre) y cálculo automático de la comisión pactada por tonelada</t>
  </si>
  <si>
    <t xml:space="preserve">o porcentaje sobre el valor neto de venta.</t>
  </si>
  <si>
    <t xml:space="preserve">d </t>
  </si>
  <si>
    <t xml:space="preserve">Métrica e Historial Financiero:</t>
  </si>
  <si>
    <t xml:space="preserve">Volumen total intermediado (toneladas por mes), historial de operaciones por cliente y comisiones cobradas / pendientes de cobro entre tú y tu socio.</t>
  </si>
  <si>
    <t xml:space="preserve">Tablero principal (Dashboard)</t>
  </si>
  <si>
    <t xml:space="preserve">Para la pantalla principal de la app, te sugiero visualizar estos indicadores de un vistazo:</t>
  </si>
  <si>
    <t xml:space="preserve">Indicador (KPI)</t>
  </si>
  <si>
    <t xml:space="preserve">Descripción / Función</t>
  </si>
  <si>
    <t xml:space="preserve">Volumen Mover (TMS)</t>
  </si>
  <si>
    <t xml:space="preserve">Toneladas Métricas Secas Intermediadas en el </t>
  </si>
  <si>
    <t xml:space="preserve">mes actual.</t>
  </si>
  <si>
    <t xml:space="preserve">Comisiones Proyectadas vs.</t>
  </si>
  <si>
    <t xml:space="preserve">Ganancias brutas divididas entre operaciones cerradas</t>
  </si>
  <si>
    <t xml:space="preserve">Realizadas</t>
  </si>
  <si>
    <t xml:space="preserve">y pendientes.</t>
  </si>
  <si>
    <t xml:space="preserve">Estatus de Pipeline</t>
  </si>
  <si>
    <t xml:space="preserve">Número de lotes activos actualmente en tránsito o en</t>
  </si>
  <si>
    <t xml:space="preserve">análisis de laboratorio</t>
  </si>
  <si>
    <t xml:space="preserve">Top clientes y Plantas </t>
  </si>
  <si>
    <t xml:space="preserve">Ranking de proveedores con mayor volumen y plantas </t>
  </si>
  <si>
    <t xml:space="preserve">con mejor tasa de cierre</t>
  </si>
  <si>
    <t xml:space="preserve">Datos de la Operación y Cliente</t>
  </si>
  <si>
    <t xml:space="preserve">Características del Mineral</t>
  </si>
  <si>
    <t xml:space="preserve">Planta y Logística</t>
  </si>
  <si>
    <t xml:space="preserve">Números Financieros y Comisión</t>
  </si>
  <si>
    <t xml:space="preserve">Estado de Cobro</t>
  </si>
  <si>
    <t xml:space="preserve">ID Lote</t>
  </si>
  <si>
    <t xml:space="preserve">F. de ingreso</t>
  </si>
  <si>
    <t xml:space="preserve">Cliente Gold</t>
  </si>
  <si>
    <t xml:space="preserve">Contacto/telf</t>
  </si>
  <si>
    <t xml:space="preserve">Ub. Origén</t>
  </si>
  <si>
    <t xml:space="preserve">Tn.Brutas </t>
  </si>
  <si>
    <t xml:space="preserve">H2O (%)</t>
  </si>
  <si>
    <t xml:space="preserve">Tn. Métricas Secas </t>
  </si>
  <si>
    <t xml:space="preserve">Ley (Gr/tn)</t>
  </si>
  <si>
    <t xml:space="preserve">Ley (oz/tn)</t>
  </si>
  <si>
    <t xml:space="preserve">Planta destino</t>
  </si>
  <si>
    <t xml:space="preserve">Estado de Envío</t>
  </si>
  <si>
    <t xml:space="preserve">Guía de remisión</t>
  </si>
  <si>
    <t xml:space="preserve">Inter Metales</t>
  </si>
  <si>
    <t xml:space="preserve">Valor Bruto del Lote</t>
  </si>
  <si>
    <t xml:space="preserve">Comisión $/tn</t>
  </si>
  <si>
    <t xml:space="preserve">Comisión Total</t>
  </si>
  <si>
    <t xml:space="preserve">Reparto Socio</t>
  </si>
  <si>
    <t xml:space="preserve">Estado de Comisón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</si>
</sst>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  <font>
      <b val="true"/>
      <sz val="12"/>
      <name val="Times New Roman"/>
      <family val="1"/>
      <charset val="1"/>
    </font>
    <font>
      <sz val="10"/>
      <name val="Times New Roman"/>
      <family val="1"/>
      <charset val="1"/>
    </font>
    <font>
      <i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B66C"/>
        <bgColor rgb="FFFFBF00"/>
      </patternFill>
    </fill>
    <fill>
      <patternFill patternType="solid">
        <fgColor rgb="FFFFBF00"/>
        <bgColor rgb="FFFFB66C"/>
      </patternFill>
    </fill>
    <fill>
      <patternFill patternType="solid">
        <fgColor rgb="FFFF8000"/>
        <bgColor rgb="FFFF6600"/>
      </patternFill>
    </fill>
    <fill>
      <patternFill patternType="solid">
        <fgColor rgb="FF81D41A"/>
        <bgColor rgb="FFBBE33D"/>
      </patternFill>
    </fill>
    <fill>
      <patternFill patternType="solid">
        <fgColor rgb="FF55308D"/>
        <bgColor rgb="FF333333"/>
      </patternFill>
    </fill>
    <fill>
      <patternFill patternType="solid">
        <fgColor rgb="FF2A6099"/>
        <bgColor rgb="FF666699"/>
      </patternFill>
    </fill>
    <fill>
      <patternFill patternType="solid">
        <fgColor rgb="FFFFE994"/>
        <bgColor rgb="FFFFFFCC"/>
      </patternFill>
    </fill>
    <fill>
      <patternFill patternType="solid">
        <fgColor rgb="FFBBE33D"/>
        <bgColor rgb="FF81D41A"/>
      </patternFill>
    </fill>
    <fill>
      <patternFill patternType="solid">
        <fgColor rgb="FF8E86AE"/>
        <bgColor rgb="FF808080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BBE33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B66C"/>
      <rgbColor rgb="FF3366FF"/>
      <rgbColor rgb="FF33CCCC"/>
      <rgbColor rgb="FF81D41A"/>
      <rgbColor rgb="FFFFBF00"/>
      <rgbColor rgb="FFFF8000"/>
      <rgbColor rgb="FFFF6600"/>
      <rgbColor rgb="FF666699"/>
      <rgbColor rgb="FF8E86AE"/>
      <rgbColor rgb="FF003366"/>
      <rgbColor rgb="FF00A933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7" colorId="64" zoomScale="110" zoomScaleNormal="110" zoomScalePageLayoutView="100" workbookViewId="0">
      <selection pane="topLeft" activeCell="C37" activeCellId="0" sqref="C3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12"/>
    <col collapsed="false" customWidth="true" hidden="false" outlineLevel="0" max="2" min="2" style="1" width="8.39"/>
    <col collapsed="false" customWidth="true" hidden="false" outlineLevel="0" max="3" min="3" style="1" width="18.75"/>
    <col collapsed="false" customWidth="true" hidden="false" outlineLevel="0" max="4" min="4" style="1" width="12.18"/>
    <col collapsed="false" customWidth="true" hidden="false" outlineLevel="0" max="5" min="5" style="1" width="10.02"/>
    <col collapsed="false" customWidth="true" hidden="false" outlineLevel="0" max="6" min="6" style="1" width="10.19"/>
    <col collapsed="false" customWidth="true" hidden="false" outlineLevel="0" max="7" min="7" style="1" width="10.08"/>
    <col collapsed="false" customWidth="true" hidden="false" outlineLevel="0" max="9" min="8" style="1" width="8.06"/>
    <col collapsed="false" customWidth="true" hidden="false" outlineLevel="0" max="10" min="10" style="1" width="10.25"/>
    <col collapsed="false" customWidth="true" hidden="false" outlineLevel="0" max="11" min="11" style="1" width="21.69"/>
    <col collapsed="false" customWidth="true" hidden="false" outlineLevel="0" max="12" min="12" style="1" width="18.54"/>
    <col collapsed="false" customWidth="true" hidden="false" outlineLevel="0" max="13" min="13" style="1" width="11.75"/>
    <col collapsed="false" customWidth="true" hidden="false" outlineLevel="0" max="14" min="14" style="1" width="15.11"/>
    <col collapsed="false" customWidth="true" hidden="false" outlineLevel="0" max="15" min="15" style="1" width="10.02"/>
    <col collapsed="false" customWidth="true" hidden="false" outlineLevel="0" max="16" min="16" style="1" width="11.05"/>
    <col collapsed="false" customWidth="true" hidden="false" outlineLevel="0" max="17" min="17" style="1" width="20.58"/>
  </cols>
  <sheetData>
    <row r="1" customFormat="false" ht="12.8" hidden="false" customHeight="false" outlineLevel="0" collapsed="false">
      <c r="C1" s="1" t="s">
        <v>0</v>
      </c>
      <c r="F1" s="2" t="s">
        <v>1</v>
      </c>
      <c r="G1" s="2"/>
      <c r="H1" s="3" t="s">
        <v>2</v>
      </c>
      <c r="I1" s="3"/>
    </row>
    <row r="2" customFormat="false" ht="12.8" hidden="false" customHeight="false" outlineLevel="0" collapsed="false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</row>
    <row r="3" customFormat="false" ht="12.8" hidden="false" customHeight="false" outlineLevel="0" collapsed="false">
      <c r="A3" s="5" t="n">
        <v>1</v>
      </c>
      <c r="B3" s="6" t="n">
        <v>46060</v>
      </c>
      <c r="C3" s="7"/>
      <c r="D3" s="7" t="s">
        <v>17</v>
      </c>
      <c r="E3" s="7" t="s">
        <v>18</v>
      </c>
      <c r="F3" s="7"/>
      <c r="G3" s="7" t="n">
        <v>5</v>
      </c>
      <c r="H3" s="7"/>
      <c r="I3" s="7"/>
      <c r="J3" s="7" t="n">
        <v>28</v>
      </c>
      <c r="K3" s="7"/>
      <c r="L3" s="7"/>
      <c r="M3" s="7" t="n">
        <f aca="false">K3-L3</f>
        <v>0</v>
      </c>
      <c r="N3" s="7" t="n">
        <v>600</v>
      </c>
      <c r="O3" s="7" t="s">
        <v>19</v>
      </c>
      <c r="P3" s="7" t="s">
        <v>20</v>
      </c>
      <c r="Q3" s="7" t="s">
        <v>21</v>
      </c>
    </row>
    <row r="4" customFormat="false" ht="12.8" hidden="false" customHeight="false" outlineLevel="0" collapsed="false">
      <c r="A4" s="5" t="n">
        <v>2</v>
      </c>
      <c r="B4" s="6" t="n">
        <v>46095</v>
      </c>
      <c r="C4" s="7"/>
      <c r="D4" s="7" t="s">
        <v>17</v>
      </c>
      <c r="E4" s="7" t="s">
        <v>18</v>
      </c>
      <c r="F4" s="7"/>
      <c r="G4" s="7" t="n">
        <v>4.3</v>
      </c>
      <c r="H4" s="7"/>
      <c r="I4" s="7"/>
      <c r="J4" s="7" t="n">
        <v>28</v>
      </c>
      <c r="K4" s="7"/>
      <c r="L4" s="7"/>
      <c r="M4" s="7" t="n">
        <f aca="false">K4-L4</f>
        <v>0</v>
      </c>
      <c r="N4" s="7" t="n">
        <v>600</v>
      </c>
      <c r="O4" s="7" t="s">
        <v>22</v>
      </c>
      <c r="P4" s="7" t="s">
        <v>20</v>
      </c>
      <c r="Q4" s="7" t="s">
        <v>19</v>
      </c>
    </row>
    <row r="5" customFormat="false" ht="12.8" hidden="false" customHeight="false" outlineLevel="0" collapsed="false">
      <c r="A5" s="5" t="n">
        <v>3</v>
      </c>
      <c r="B5" s="6" t="n">
        <v>46095</v>
      </c>
      <c r="C5" s="7"/>
      <c r="D5" s="7" t="s">
        <v>23</v>
      </c>
      <c r="E5" s="7" t="s">
        <v>18</v>
      </c>
      <c r="F5" s="7"/>
      <c r="G5" s="7" t="n">
        <v>3</v>
      </c>
      <c r="H5" s="7"/>
      <c r="I5" s="7"/>
      <c r="J5" s="7" t="n">
        <v>25</v>
      </c>
      <c r="K5" s="7"/>
      <c r="L5" s="7"/>
      <c r="M5" s="7" t="n">
        <f aca="false">K5-L5</f>
        <v>0</v>
      </c>
      <c r="N5" s="7"/>
      <c r="O5" s="7"/>
      <c r="P5" s="7" t="s">
        <v>24</v>
      </c>
      <c r="Q5" s="7" t="s">
        <v>25</v>
      </c>
    </row>
    <row r="6" customFormat="false" ht="12.8" hidden="false" customHeight="false" outlineLevel="0" collapsed="false">
      <c r="A6" s="5" t="n">
        <v>4</v>
      </c>
      <c r="B6" s="6" t="n">
        <v>46103</v>
      </c>
      <c r="C6" s="7"/>
      <c r="D6" s="7" t="s">
        <v>17</v>
      </c>
      <c r="E6" s="7" t="s">
        <v>18</v>
      </c>
      <c r="F6" s="7"/>
      <c r="G6" s="7" t="n">
        <v>5</v>
      </c>
      <c r="H6" s="7"/>
      <c r="I6" s="7"/>
      <c r="J6" s="7"/>
      <c r="K6" s="7"/>
      <c r="L6" s="7"/>
      <c r="M6" s="7" t="n">
        <f aca="false">K6-L6</f>
        <v>0</v>
      </c>
      <c r="N6" s="7" t="n">
        <v>100</v>
      </c>
      <c r="O6" s="7" t="s">
        <v>19</v>
      </c>
      <c r="P6" s="7" t="s">
        <v>20</v>
      </c>
      <c r="Q6" s="7" t="s">
        <v>21</v>
      </c>
    </row>
    <row r="7" customFormat="false" ht="12.8" hidden="false" customHeight="false" outlineLevel="0" collapsed="false">
      <c r="A7" s="5" t="n">
        <v>5</v>
      </c>
      <c r="B7" s="6" t="n">
        <v>46123</v>
      </c>
      <c r="C7" s="7" t="s">
        <v>26</v>
      </c>
      <c r="D7" s="7" t="s">
        <v>27</v>
      </c>
      <c r="E7" s="7" t="s">
        <v>28</v>
      </c>
      <c r="F7" s="7"/>
      <c r="G7" s="7" t="n">
        <v>2.5</v>
      </c>
      <c r="H7" s="7"/>
      <c r="I7" s="7"/>
      <c r="J7" s="7" t="n">
        <v>15</v>
      </c>
      <c r="K7" s="7" t="n">
        <v>135</v>
      </c>
      <c r="L7" s="7" t="n">
        <v>115</v>
      </c>
      <c r="M7" s="7" t="n">
        <f aca="false">K7-L7</f>
        <v>20</v>
      </c>
      <c r="N7" s="7"/>
      <c r="O7" s="7"/>
      <c r="P7" s="7" t="s">
        <v>29</v>
      </c>
      <c r="Q7" s="7"/>
    </row>
    <row r="8" customFormat="false" ht="12.8" hidden="false" customHeight="false" outlineLevel="0" collapsed="false">
      <c r="A8" s="5" t="n">
        <v>6</v>
      </c>
      <c r="B8" s="6" t="n">
        <v>46123</v>
      </c>
      <c r="C8" s="7" t="s">
        <v>30</v>
      </c>
      <c r="D8" s="7" t="s">
        <v>27</v>
      </c>
      <c r="E8" s="7" t="s">
        <v>28</v>
      </c>
      <c r="F8" s="7" t="n">
        <v>1.8</v>
      </c>
      <c r="G8" s="7"/>
      <c r="H8" s="7"/>
      <c r="I8" s="7"/>
      <c r="J8" s="7" t="n">
        <v>4</v>
      </c>
      <c r="K8" s="7" t="n">
        <v>8260</v>
      </c>
      <c r="L8" s="7" t="n">
        <v>8220</v>
      </c>
      <c r="M8" s="7" t="n">
        <f aca="false">K8-L8</f>
        <v>40</v>
      </c>
      <c r="N8" s="7" t="n">
        <v>600</v>
      </c>
      <c r="O8" s="7" t="s">
        <v>19</v>
      </c>
      <c r="P8" s="7" t="s">
        <v>29</v>
      </c>
      <c r="Q8" s="7"/>
    </row>
    <row r="9" customFormat="false" ht="12.8" hidden="false" customHeight="false" outlineLevel="0" collapsed="false">
      <c r="A9" s="5" t="n">
        <v>7</v>
      </c>
      <c r="B9" s="6" t="n">
        <v>46128</v>
      </c>
      <c r="C9" s="7"/>
      <c r="D9" s="7" t="s">
        <v>17</v>
      </c>
      <c r="E9" s="7" t="s">
        <v>18</v>
      </c>
      <c r="F9" s="7"/>
      <c r="G9" s="7"/>
      <c r="H9" s="7"/>
      <c r="I9" s="7"/>
      <c r="J9" s="7" t="n">
        <v>30</v>
      </c>
      <c r="K9" s="7"/>
      <c r="L9" s="7"/>
      <c r="M9" s="7" t="n">
        <f aca="false">K9-L9</f>
        <v>0</v>
      </c>
      <c r="N9" s="7" t="n">
        <v>300</v>
      </c>
      <c r="O9" s="7" t="s">
        <v>19</v>
      </c>
      <c r="P9" s="7" t="s">
        <v>31</v>
      </c>
      <c r="Q9" s="7"/>
    </row>
    <row r="10" customFormat="false" ht="12.8" hidden="false" customHeight="false" outlineLevel="0" collapsed="false">
      <c r="A10" s="5" t="n">
        <v>8</v>
      </c>
      <c r="B10" s="6" t="n">
        <v>46130</v>
      </c>
      <c r="C10" s="7"/>
      <c r="D10" s="7" t="s">
        <v>23</v>
      </c>
      <c r="E10" s="7" t="s">
        <v>18</v>
      </c>
      <c r="F10" s="7"/>
      <c r="G10" s="7"/>
      <c r="H10" s="7"/>
      <c r="I10" s="7"/>
      <c r="J10" s="7" t="n">
        <v>30</v>
      </c>
      <c r="K10" s="7"/>
      <c r="L10" s="7"/>
      <c r="M10" s="7" t="n">
        <f aca="false">K10-L10</f>
        <v>0</v>
      </c>
      <c r="N10" s="7" t="n">
        <v>600</v>
      </c>
      <c r="O10" s="7" t="s">
        <v>32</v>
      </c>
      <c r="P10" s="7" t="s">
        <v>29</v>
      </c>
      <c r="Q10" s="7"/>
    </row>
    <row r="11" customFormat="false" ht="12.8" hidden="false" customHeight="false" outlineLevel="0" collapsed="false">
      <c r="A11" s="5" t="n">
        <v>9</v>
      </c>
      <c r="B11" s="6" t="n">
        <v>46136</v>
      </c>
      <c r="C11" s="7"/>
      <c r="D11" s="7" t="s">
        <v>33</v>
      </c>
      <c r="E11" s="7" t="s">
        <v>34</v>
      </c>
      <c r="F11" s="7"/>
      <c r="G11" s="7" t="n">
        <v>5.15</v>
      </c>
      <c r="H11" s="7"/>
      <c r="I11" s="7"/>
      <c r="J11" s="7" t="n">
        <v>24</v>
      </c>
      <c r="K11" s="7" t="n">
        <v>445</v>
      </c>
      <c r="L11" s="7"/>
      <c r="M11" s="7" t="n">
        <f aca="false">K11-L11</f>
        <v>445</v>
      </c>
      <c r="N11" s="7" t="n">
        <v>600</v>
      </c>
      <c r="O11" s="7" t="s">
        <v>32</v>
      </c>
      <c r="P11" s="7"/>
      <c r="Q11" s="7"/>
    </row>
    <row r="12" customFormat="false" ht="12.8" hidden="false" customHeight="false" outlineLevel="0" collapsed="false">
      <c r="A12" s="5" t="n">
        <v>10</v>
      </c>
      <c r="B12" s="6" t="n">
        <v>46146</v>
      </c>
      <c r="C12" s="7"/>
      <c r="D12" s="7" t="s">
        <v>27</v>
      </c>
      <c r="E12" s="7" t="s">
        <v>28</v>
      </c>
      <c r="F12" s="7"/>
      <c r="G12" s="7"/>
      <c r="H12" s="7"/>
      <c r="I12" s="7"/>
      <c r="J12" s="7"/>
      <c r="K12" s="7"/>
      <c r="L12" s="7"/>
      <c r="M12" s="7" t="n">
        <f aca="false">K12-L12</f>
        <v>0</v>
      </c>
      <c r="N12" s="7" t="n">
        <v>600</v>
      </c>
      <c r="O12" s="7" t="s">
        <v>32</v>
      </c>
      <c r="P12" s="7"/>
      <c r="Q12" s="7"/>
    </row>
    <row r="13" customFormat="false" ht="12.8" hidden="false" customHeight="false" outlineLevel="0" collapsed="false">
      <c r="A13" s="5" t="n">
        <v>11</v>
      </c>
      <c r="B13" s="6" t="n">
        <v>46160</v>
      </c>
      <c r="C13" s="7"/>
      <c r="D13" s="7" t="s">
        <v>23</v>
      </c>
      <c r="E13" s="7" t="s">
        <v>18</v>
      </c>
      <c r="F13" s="7"/>
      <c r="G13" s="7"/>
      <c r="H13" s="7"/>
      <c r="I13" s="7"/>
      <c r="J13" s="7"/>
      <c r="K13" s="7"/>
      <c r="L13" s="7"/>
      <c r="M13" s="7" t="n">
        <f aca="false">K13-L13</f>
        <v>0</v>
      </c>
      <c r="N13" s="7" t="n">
        <v>300</v>
      </c>
      <c r="O13" s="7"/>
      <c r="P13" s="7"/>
      <c r="Q13" s="7"/>
    </row>
    <row r="14" customFormat="false" ht="12.8" hidden="false" customHeight="false" outlineLevel="0" collapsed="false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 t="n">
        <f aca="false">K14-L14</f>
        <v>0</v>
      </c>
      <c r="N14" s="9"/>
      <c r="O14" s="7"/>
      <c r="P14" s="7"/>
      <c r="Q14" s="7"/>
    </row>
    <row r="15" customFormat="false" ht="12.8" hidden="false" customHeight="false" outlineLevel="0" collapsed="false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 t="n">
        <f aca="false">K15-L15</f>
        <v>0</v>
      </c>
      <c r="N15" s="9"/>
      <c r="O15" s="7"/>
      <c r="P15" s="7"/>
      <c r="Q15" s="7"/>
    </row>
    <row r="16" customFormat="false" ht="12.8" hidden="false" customHeight="false" outlineLevel="0" collapsed="false">
      <c r="B16" s="6" t="n">
        <v>46228</v>
      </c>
      <c r="C16" s="7"/>
      <c r="D16" s="7" t="s">
        <v>35</v>
      </c>
      <c r="E16" s="7" t="s">
        <v>18</v>
      </c>
      <c r="F16" s="7" t="n">
        <v>0.35</v>
      </c>
      <c r="G16" s="7" t="n">
        <v>10</v>
      </c>
      <c r="H16" s="7"/>
      <c r="I16" s="7"/>
      <c r="J16" s="7" t="n">
        <v>20</v>
      </c>
      <c r="K16" s="7"/>
      <c r="L16" s="7" t="n">
        <v>1250</v>
      </c>
      <c r="M16" s="7" t="n">
        <f aca="false">K16-L16</f>
        <v>-1250</v>
      </c>
      <c r="N16" s="7" t="n">
        <f aca="false">15*20</f>
        <v>300</v>
      </c>
      <c r="O16" s="7"/>
      <c r="P16" s="7"/>
      <c r="Q16" s="7"/>
    </row>
    <row r="17" customFormat="false" ht="12.8" hidden="false" customHeight="false" outlineLevel="0" collapsed="false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customFormat="false" ht="12.8" hidden="false" customHeight="false" outlineLevel="0" collapsed="false">
      <c r="B18" s="10"/>
      <c r="C18" s="7"/>
      <c r="D18" s="7"/>
      <c r="E18" s="7"/>
      <c r="F18" s="7"/>
      <c r="G18" s="7"/>
      <c r="H18" s="7"/>
      <c r="I18" s="7"/>
      <c r="J18" s="7"/>
      <c r="K18" s="7"/>
      <c r="L18" s="7"/>
      <c r="M18" s="7" t="n">
        <f aca="false">K18-L18</f>
        <v>0</v>
      </c>
      <c r="N18" s="7"/>
      <c r="O18" s="7"/>
      <c r="P18" s="7"/>
      <c r="Q18" s="7"/>
    </row>
    <row r="19" customFormat="false" ht="12.8" hidden="false" customHeight="false" outlineLevel="0" collapsed="false">
      <c r="B19" s="10"/>
      <c r="C19" s="7"/>
      <c r="D19" s="7"/>
      <c r="E19" s="7"/>
      <c r="F19" s="7"/>
      <c r="G19" s="7"/>
      <c r="H19" s="7"/>
      <c r="I19" s="7"/>
      <c r="J19" s="7"/>
      <c r="K19" s="7"/>
      <c r="L19" s="7"/>
      <c r="M19" s="7" t="n">
        <f aca="false">K19-L19</f>
        <v>0</v>
      </c>
      <c r="N19" s="7"/>
      <c r="O19" s="7"/>
      <c r="P19" s="7"/>
      <c r="Q19" s="7"/>
    </row>
    <row r="20" customFormat="false" ht="12.8" hidden="false" customHeight="false" outlineLevel="0" collapsed="false">
      <c r="B20" s="10"/>
      <c r="C20" s="7"/>
      <c r="D20" s="7"/>
      <c r="E20" s="7"/>
      <c r="F20" s="7"/>
      <c r="G20" s="7"/>
      <c r="H20" s="7"/>
      <c r="I20" s="7"/>
      <c r="J20" s="7"/>
      <c r="K20" s="7"/>
      <c r="L20" s="7"/>
      <c r="M20" s="7" t="n">
        <f aca="false">K20-L20</f>
        <v>0</v>
      </c>
      <c r="N20" s="7"/>
      <c r="O20" s="7"/>
      <c r="P20" s="7"/>
      <c r="Q20" s="7"/>
    </row>
    <row r="21" customFormat="false" ht="12.8" hidden="false" customHeight="false" outlineLevel="0" collapsed="false">
      <c r="B21" s="10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customFormat="false" ht="12.8" hidden="false" customHeight="false" outlineLevel="0" collapsed="false">
      <c r="B22" s="10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customFormat="false" ht="12.8" hidden="false" customHeight="false" outlineLevel="0" collapsed="false">
      <c r="B23" s="1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customFormat="false" ht="12.8" hidden="false" customHeight="false" outlineLevel="0" collapsed="false">
      <c r="B24" s="1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customFormat="false" ht="12.8" hidden="false" customHeight="false" outlineLevel="0" collapsed="false">
      <c r="B25" s="1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customFormat="false" ht="12.8" hidden="false" customHeight="false" outlineLevel="0" collapsed="false">
      <c r="B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customFormat="false" ht="12.8" hidden="false" customHeight="false" outlineLevel="0" collapsed="false">
      <c r="B27" s="1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customFormat="false" ht="12.8" hidden="false" customHeight="false" outlineLevel="0" collapsed="false">
      <c r="B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customFormat="false" ht="12.8" hidden="false" customHeight="false" outlineLevel="0" collapsed="false">
      <c r="B29" s="1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1" customFormat="false" ht="12.8" hidden="false" customHeight="false" outlineLevel="0" collapsed="false">
      <c r="B31" s="1" t="s">
        <v>36</v>
      </c>
      <c r="C31" s="1" t="s">
        <v>37</v>
      </c>
    </row>
    <row r="32" customFormat="false" ht="12.8" hidden="false" customHeight="false" outlineLevel="0" collapsed="false">
      <c r="C32" s="1" t="s">
        <v>38</v>
      </c>
    </row>
    <row r="33" customFormat="false" ht="12.8" hidden="false" customHeight="false" outlineLevel="0" collapsed="false">
      <c r="C33" s="1" t="s">
        <v>39</v>
      </c>
    </row>
    <row r="34" customFormat="false" ht="12.8" hidden="false" customHeight="false" outlineLevel="0" collapsed="false">
      <c r="C34" s="1" t="s">
        <v>40</v>
      </c>
    </row>
    <row r="35" customFormat="false" ht="12.8" hidden="false" customHeight="false" outlineLevel="0" collapsed="false">
      <c r="C35" s="1" t="s">
        <v>41</v>
      </c>
    </row>
    <row r="36" customFormat="false" ht="12.8" hidden="false" customHeight="false" outlineLevel="0" collapsed="false">
      <c r="C36" s="1" t="s">
        <v>42</v>
      </c>
    </row>
    <row r="38" customFormat="false" ht="12.8" hidden="false" customHeight="false" outlineLevel="0" collapsed="false">
      <c r="C38" s="1" t="s">
        <v>43</v>
      </c>
    </row>
    <row r="39" customFormat="false" ht="12.8" hidden="false" customHeight="false" outlineLevel="0" collapsed="false">
      <c r="C39" s="1" t="s">
        <v>44</v>
      </c>
    </row>
    <row r="40" customFormat="false" ht="12.8" hidden="false" customHeight="false" outlineLevel="0" collapsed="false">
      <c r="C40" s="1" t="s">
        <v>45</v>
      </c>
    </row>
    <row r="41" customFormat="false" ht="12.8" hidden="false" customHeight="false" outlineLevel="0" collapsed="false">
      <c r="C41" s="1" t="s">
        <v>46</v>
      </c>
    </row>
    <row r="42" customFormat="false" ht="12.8" hidden="false" customHeight="false" outlineLevel="0" collapsed="false">
      <c r="C42" s="1" t="s">
        <v>47</v>
      </c>
    </row>
    <row r="43" customFormat="false" ht="12.8" hidden="false" customHeight="false" outlineLevel="0" collapsed="false">
      <c r="C43" s="1" t="s">
        <v>48</v>
      </c>
    </row>
  </sheetData>
  <mergeCells count="2">
    <mergeCell ref="F1:G1"/>
    <mergeCell ref="H1:I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7"/>
  <sheetViews>
    <sheetView showFormulas="false" showGridLines="true" showRowColHeaders="true" showZeros="true" rightToLeft="false" tabSelected="false" showOutlineSymbols="true" defaultGridColor="true" view="normal" topLeftCell="A22" colorId="64" zoomScale="110" zoomScaleNormal="11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.58"/>
    <col collapsed="false" customWidth="true" hidden="false" outlineLevel="0" max="2" min="2" style="1" width="8.88"/>
    <col collapsed="false" customWidth="true" hidden="false" outlineLevel="0" max="3" min="3" style="1" width="19.02"/>
    <col collapsed="false" customWidth="true" hidden="false" outlineLevel="0" max="4" min="4" style="1" width="10.25"/>
    <col collapsed="false" customWidth="true" hidden="false" outlineLevel="0" max="5" min="5" style="1" width="10.02"/>
    <col collapsed="false" customWidth="true" hidden="false" outlineLevel="0" max="6" min="6" style="1" width="7.85"/>
    <col collapsed="false" customWidth="true" hidden="false" outlineLevel="0" max="7" min="7" style="1" width="9.04"/>
    <col collapsed="false" customWidth="true" hidden="false" outlineLevel="0" max="8" min="8" style="1" width="10.88"/>
    <col collapsed="false" customWidth="true" hidden="false" outlineLevel="0" max="9" min="9" style="1" width="14.03"/>
    <col collapsed="false" customWidth="true" hidden="false" outlineLevel="0" max="10" min="10" style="1" width="15.54"/>
    <col collapsed="false" customWidth="true" hidden="false" outlineLevel="0" max="11" min="11" style="1" width="25.97"/>
    <col collapsed="false" customWidth="true" hidden="false" outlineLevel="0" max="12" min="12" style="1" width="1.95"/>
    <col collapsed="false" customWidth="true" hidden="false" outlineLevel="0" max="13" min="13" style="1" width="28.41"/>
  </cols>
  <sheetData>
    <row r="2" customFormat="false" ht="12.8" hidden="false" customHeight="false" outlineLevel="0" collapsed="false">
      <c r="B2" s="4" t="s">
        <v>49</v>
      </c>
      <c r="C2" s="4" t="s">
        <v>50</v>
      </c>
      <c r="D2" s="4" t="s">
        <v>51</v>
      </c>
      <c r="E2" s="4" t="s">
        <v>6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M2" s="5"/>
    </row>
    <row r="3" customFormat="false" ht="12.8" hidden="false" customHeight="false" outlineLevel="0" collapsed="false">
      <c r="B3" s="10"/>
      <c r="C3" s="10" t="s">
        <v>58</v>
      </c>
      <c r="D3" s="10" t="n">
        <v>993231612</v>
      </c>
      <c r="E3" s="10" t="s">
        <v>59</v>
      </c>
      <c r="F3" s="10" t="s">
        <v>60</v>
      </c>
      <c r="G3" s="10" t="n">
        <v>30</v>
      </c>
      <c r="H3" s="10" t="s">
        <v>61</v>
      </c>
      <c r="I3" s="7" t="n">
        <v>3</v>
      </c>
      <c r="J3" s="10" t="s">
        <v>62</v>
      </c>
      <c r="K3" s="10"/>
      <c r="M3" s="11" t="s">
        <v>63</v>
      </c>
    </row>
    <row r="4" customFormat="false" ht="12.8" hidden="false" customHeight="false" outlineLevel="0" collapsed="false">
      <c r="B4" s="10"/>
      <c r="C4" s="10" t="s">
        <v>64</v>
      </c>
      <c r="D4" s="10" t="n">
        <v>982290660</v>
      </c>
      <c r="E4" s="10" t="s">
        <v>65</v>
      </c>
      <c r="F4" s="10" t="s">
        <v>66</v>
      </c>
      <c r="G4" s="10"/>
      <c r="H4" s="10"/>
      <c r="I4" s="10"/>
      <c r="J4" s="10"/>
      <c r="K4" s="10"/>
      <c r="M4" s="11" t="s">
        <v>67</v>
      </c>
    </row>
    <row r="5" customFormat="false" ht="12.8" hidden="false" customHeight="false" outlineLevel="0" collapsed="false">
      <c r="B5" s="12"/>
      <c r="C5" s="10" t="s">
        <v>68</v>
      </c>
      <c r="D5" s="10" t="n">
        <v>927289562</v>
      </c>
      <c r="E5" s="10" t="s">
        <v>69</v>
      </c>
      <c r="F5" s="10" t="s">
        <v>70</v>
      </c>
      <c r="G5" s="10" t="n">
        <v>30</v>
      </c>
      <c r="H5" s="10" t="s">
        <v>61</v>
      </c>
      <c r="I5" s="10" t="n">
        <v>3</v>
      </c>
      <c r="J5" s="10" t="s">
        <v>71</v>
      </c>
      <c r="K5" s="10" t="s">
        <v>72</v>
      </c>
      <c r="M5" s="11" t="s">
        <v>73</v>
      </c>
    </row>
    <row r="6" customFormat="false" ht="12.8" hidden="false" customHeight="false" outlineLevel="0" collapsed="false">
      <c r="B6" s="12"/>
      <c r="C6" s="10" t="n">
        <v>6</v>
      </c>
      <c r="D6" s="10"/>
      <c r="E6" s="10"/>
      <c r="F6" s="10"/>
      <c r="G6" s="10"/>
      <c r="H6" s="10"/>
      <c r="I6" s="10"/>
      <c r="J6" s="10"/>
      <c r="K6" s="10"/>
      <c r="M6" s="11"/>
    </row>
    <row r="7" customFormat="false" ht="12.8" hidden="false" customHeight="false" outlineLevel="0" collapsed="false">
      <c r="B7" s="12"/>
      <c r="C7" s="10" t="s">
        <v>74</v>
      </c>
      <c r="D7" s="10"/>
      <c r="E7" s="10" t="s">
        <v>28</v>
      </c>
      <c r="F7" s="10" t="s">
        <v>70</v>
      </c>
      <c r="G7" s="10" t="n">
        <v>30</v>
      </c>
      <c r="H7" s="10" t="s">
        <v>75</v>
      </c>
      <c r="I7" s="10" t="n">
        <v>4</v>
      </c>
      <c r="J7" s="10" t="s">
        <v>76</v>
      </c>
      <c r="K7" s="10" t="s">
        <v>77</v>
      </c>
      <c r="M7" s="11"/>
    </row>
    <row r="8" customFormat="false" ht="12.8" hidden="false" customHeight="false" outlineLevel="0" collapsed="false">
      <c r="B8" s="12"/>
      <c r="C8" s="10" t="s">
        <v>17</v>
      </c>
      <c r="D8" s="10"/>
      <c r="E8" s="10" t="s">
        <v>18</v>
      </c>
      <c r="F8" s="10" t="s">
        <v>70</v>
      </c>
      <c r="G8" s="10" t="n">
        <v>30</v>
      </c>
      <c r="H8" s="10" t="s">
        <v>61</v>
      </c>
      <c r="I8" s="10" t="n">
        <v>5</v>
      </c>
      <c r="J8" s="10" t="s">
        <v>76</v>
      </c>
      <c r="K8" s="10" t="s">
        <v>78</v>
      </c>
      <c r="M8" s="11"/>
    </row>
    <row r="9" customFormat="false" ht="12.8" hidden="false" customHeight="false" outlineLevel="0" collapsed="false">
      <c r="B9" s="12"/>
      <c r="C9" s="10" t="s">
        <v>79</v>
      </c>
      <c r="D9" s="10"/>
      <c r="E9" s="10" t="s">
        <v>18</v>
      </c>
      <c r="F9" s="10" t="s">
        <v>70</v>
      </c>
      <c r="G9" s="10" t="n">
        <v>30</v>
      </c>
      <c r="H9" s="10" t="s">
        <v>75</v>
      </c>
      <c r="I9" s="10" t="n">
        <v>3</v>
      </c>
      <c r="J9" s="10" t="s">
        <v>80</v>
      </c>
      <c r="K9" s="10" t="s">
        <v>81</v>
      </c>
      <c r="M9" s="11"/>
    </row>
    <row r="10" customFormat="false" ht="12.8" hidden="false" customHeight="false" outlineLevel="0" collapsed="false">
      <c r="B10" s="10"/>
      <c r="C10" s="10" t="s">
        <v>82</v>
      </c>
      <c r="D10" s="10"/>
      <c r="E10" s="10" t="s">
        <v>83</v>
      </c>
      <c r="F10" s="10"/>
      <c r="G10" s="10"/>
      <c r="H10" s="10"/>
      <c r="I10" s="10"/>
      <c r="J10" s="10"/>
      <c r="K10" s="10" t="s">
        <v>84</v>
      </c>
      <c r="M10" s="11" t="s">
        <v>85</v>
      </c>
    </row>
    <row r="11" customFormat="false" ht="12.8" hidden="false" customHeight="false" outlineLevel="0" collapsed="false">
      <c r="B11" s="10"/>
      <c r="C11" s="10" t="s">
        <v>86</v>
      </c>
      <c r="D11" s="10"/>
      <c r="E11" s="10" t="s">
        <v>83</v>
      </c>
      <c r="F11" s="10"/>
      <c r="G11" s="10"/>
      <c r="H11" s="10"/>
      <c r="I11" s="10"/>
      <c r="J11" s="10"/>
      <c r="K11" s="10" t="s">
        <v>87</v>
      </c>
    </row>
    <row r="12" customFormat="false" ht="12.8" hidden="false" customHeight="false" outlineLevel="0" collapsed="false">
      <c r="B12" s="10"/>
      <c r="C12" s="10" t="s">
        <v>88</v>
      </c>
      <c r="D12" s="10"/>
      <c r="E12" s="10" t="s">
        <v>83</v>
      </c>
      <c r="F12" s="10"/>
      <c r="G12" s="10"/>
      <c r="H12" s="10"/>
      <c r="I12" s="10"/>
      <c r="J12" s="10"/>
      <c r="K12" s="10" t="s">
        <v>89</v>
      </c>
    </row>
    <row r="13" customFormat="false" ht="12.8" hidden="false" customHeight="false" outlineLevel="0" collapsed="false">
      <c r="B13" s="10"/>
      <c r="C13" s="10" t="s">
        <v>90</v>
      </c>
      <c r="D13" s="10"/>
      <c r="E13" s="10" t="s">
        <v>69</v>
      </c>
      <c r="F13" s="10"/>
      <c r="G13" s="10"/>
      <c r="H13" s="10"/>
      <c r="I13" s="10"/>
      <c r="J13" s="10" t="s">
        <v>91</v>
      </c>
      <c r="K13" s="10" t="s">
        <v>92</v>
      </c>
    </row>
    <row r="14" customFormat="false" ht="12.8" hidden="false" customHeight="false" outlineLevel="0" collapsed="false">
      <c r="B14" s="10"/>
      <c r="C14" s="10" t="s">
        <v>93</v>
      </c>
      <c r="D14" s="10"/>
      <c r="E14" s="10" t="s">
        <v>83</v>
      </c>
      <c r="F14" s="10"/>
      <c r="G14" s="10"/>
      <c r="H14" s="10"/>
      <c r="I14" s="10"/>
      <c r="J14" s="10"/>
      <c r="K14" s="10" t="s">
        <v>84</v>
      </c>
    </row>
    <row r="15" customFormat="false" ht="12.8" hidden="false" customHeight="false" outlineLevel="0" collapsed="false">
      <c r="B15" s="10"/>
      <c r="C15" s="10" t="s">
        <v>94</v>
      </c>
      <c r="D15" s="10"/>
      <c r="E15" s="10" t="s">
        <v>83</v>
      </c>
      <c r="F15" s="10"/>
      <c r="G15" s="10"/>
      <c r="H15" s="10"/>
      <c r="I15" s="10"/>
      <c r="J15" s="10"/>
      <c r="K15" s="10" t="s">
        <v>95</v>
      </c>
    </row>
    <row r="16" customFormat="false" ht="12.8" hidden="false" customHeight="false" outlineLevel="0" collapsed="false">
      <c r="B16" s="10"/>
      <c r="C16" s="10" t="s">
        <v>96</v>
      </c>
      <c r="D16" s="10"/>
      <c r="E16" s="10" t="s">
        <v>28</v>
      </c>
      <c r="F16" s="10"/>
      <c r="G16" s="10"/>
      <c r="H16" s="10"/>
      <c r="I16" s="10"/>
      <c r="J16" s="10" t="s">
        <v>97</v>
      </c>
      <c r="K16" s="10" t="s">
        <v>98</v>
      </c>
    </row>
    <row r="17" customFormat="false" ht="12.8" hidden="false" customHeight="false" outlineLevel="0" collapsed="false">
      <c r="B17" s="10"/>
      <c r="C17" s="10" t="s">
        <v>99</v>
      </c>
      <c r="D17" s="10"/>
      <c r="E17" s="10" t="s">
        <v>100</v>
      </c>
      <c r="F17" s="10"/>
      <c r="G17" s="10" t="n">
        <v>30</v>
      </c>
      <c r="H17" s="10" t="s">
        <v>61</v>
      </c>
      <c r="I17" s="10"/>
      <c r="J17" s="10" t="s">
        <v>76</v>
      </c>
      <c r="K17" s="10"/>
    </row>
    <row r="18" customFormat="false" ht="12.8" hidden="false" customHeight="false" outlineLevel="0" collapsed="false">
      <c r="B18" s="10"/>
      <c r="C18" s="10" t="s">
        <v>101</v>
      </c>
      <c r="D18" s="10"/>
      <c r="E18" s="10" t="s">
        <v>83</v>
      </c>
      <c r="F18" s="10"/>
      <c r="G18" s="10"/>
      <c r="H18" s="10"/>
      <c r="I18" s="10"/>
      <c r="J18" s="10"/>
      <c r="K18" s="10" t="s">
        <v>84</v>
      </c>
    </row>
    <row r="19" customFormat="false" ht="12.8" hidden="false" customHeight="false" outlineLevel="0" collapsed="false">
      <c r="B19" s="10"/>
      <c r="C19" s="10" t="s">
        <v>102</v>
      </c>
      <c r="D19" s="10"/>
      <c r="E19" s="10" t="s">
        <v>69</v>
      </c>
      <c r="F19" s="10" t="s">
        <v>60</v>
      </c>
      <c r="G19" s="10" t="n">
        <v>30</v>
      </c>
      <c r="H19" s="10" t="s">
        <v>75</v>
      </c>
      <c r="I19" s="10"/>
      <c r="J19" s="10"/>
      <c r="K19" s="10"/>
    </row>
    <row r="20" customFormat="false" ht="12.8" hidden="false" customHeight="false" outlineLevel="0" collapsed="false">
      <c r="B20" s="10"/>
      <c r="C20" s="10" t="s">
        <v>103</v>
      </c>
      <c r="D20" s="10"/>
      <c r="E20" s="10" t="s">
        <v>104</v>
      </c>
      <c r="F20" s="10"/>
      <c r="G20" s="10"/>
      <c r="H20" s="10"/>
      <c r="I20" s="10"/>
      <c r="J20" s="10"/>
      <c r="K20" s="10" t="s">
        <v>105</v>
      </c>
    </row>
    <row r="21" customFormat="false" ht="12.8" hidden="false" customHeight="false" outlineLevel="0" collapsed="false">
      <c r="B21" s="10"/>
      <c r="C21" s="10" t="s">
        <v>106</v>
      </c>
      <c r="D21" s="10"/>
      <c r="E21" s="10" t="s">
        <v>107</v>
      </c>
      <c r="F21" s="10" t="s">
        <v>60</v>
      </c>
      <c r="G21" s="10" t="n">
        <v>30</v>
      </c>
      <c r="H21" s="10" t="s">
        <v>75</v>
      </c>
      <c r="I21" s="10"/>
      <c r="J21" s="10"/>
      <c r="K21" s="10"/>
    </row>
    <row r="22" customFormat="false" ht="12.8" hidden="false" customHeight="false" outlineLevel="0" collapsed="false">
      <c r="B22" s="10"/>
      <c r="C22" s="10" t="s">
        <v>108</v>
      </c>
      <c r="D22" s="10"/>
      <c r="E22" s="10" t="s">
        <v>109</v>
      </c>
      <c r="F22" s="10" t="s">
        <v>70</v>
      </c>
      <c r="G22" s="10"/>
      <c r="H22" s="10"/>
      <c r="I22" s="10"/>
      <c r="J22" s="10"/>
      <c r="K22" s="10"/>
    </row>
    <row r="23" customFormat="false" ht="12.8" hidden="false" customHeight="false" outlineLevel="0" collapsed="false">
      <c r="B23" s="10"/>
      <c r="C23" s="10" t="s">
        <v>110</v>
      </c>
      <c r="D23" s="10"/>
      <c r="E23" s="10" t="s">
        <v>104</v>
      </c>
      <c r="F23" s="10"/>
      <c r="G23" s="10"/>
      <c r="H23" s="10"/>
      <c r="I23" s="10"/>
      <c r="J23" s="10"/>
      <c r="K23" s="10" t="s">
        <v>111</v>
      </c>
    </row>
    <row r="24" customFormat="false" ht="12.8" hidden="false" customHeight="false" outlineLevel="0" collapsed="false">
      <c r="B24" s="10"/>
      <c r="C24" s="10" t="s">
        <v>112</v>
      </c>
      <c r="D24" s="10"/>
      <c r="E24" s="10" t="s">
        <v>69</v>
      </c>
      <c r="F24" s="10" t="s">
        <v>70</v>
      </c>
      <c r="G24" s="10"/>
      <c r="H24" s="10"/>
      <c r="I24" s="10"/>
      <c r="J24" s="10"/>
      <c r="K24" s="10" t="s">
        <v>113</v>
      </c>
    </row>
    <row r="25" customFormat="false" ht="12.8" hidden="false" customHeight="false" outlineLevel="0" collapsed="false">
      <c r="B25" s="10"/>
      <c r="C25" s="10" t="s">
        <v>114</v>
      </c>
      <c r="D25" s="10"/>
      <c r="E25" s="10" t="s">
        <v>115</v>
      </c>
      <c r="F25" s="10" t="s">
        <v>70</v>
      </c>
      <c r="G25" s="10" t="n">
        <v>30</v>
      </c>
      <c r="H25" s="10" t="s">
        <v>116</v>
      </c>
      <c r="I25" s="10"/>
      <c r="J25" s="10"/>
      <c r="K25" s="10"/>
    </row>
    <row r="26" customFormat="false" ht="12.8" hidden="false" customHeight="false" outlineLevel="0" collapsed="false">
      <c r="B26" s="10"/>
      <c r="C26" s="10" t="s">
        <v>117</v>
      </c>
      <c r="D26" s="10"/>
      <c r="E26" s="10" t="s">
        <v>69</v>
      </c>
      <c r="F26" s="10" t="s">
        <v>118</v>
      </c>
      <c r="G26" s="10"/>
      <c r="H26" s="10"/>
      <c r="I26" s="10"/>
      <c r="J26" s="10"/>
      <c r="K26" s="10" t="s">
        <v>119</v>
      </c>
    </row>
    <row r="27" customFormat="false" ht="12.8" hidden="false" customHeight="false" outlineLevel="0" collapsed="false">
      <c r="B27" s="10"/>
      <c r="C27" s="10" t="s">
        <v>120</v>
      </c>
      <c r="D27" s="10"/>
      <c r="E27" s="10"/>
      <c r="F27" s="10"/>
      <c r="G27" s="10"/>
      <c r="H27" s="10"/>
      <c r="I27" s="10"/>
      <c r="J27" s="10"/>
      <c r="K27" s="10" t="s">
        <v>84</v>
      </c>
    </row>
    <row r="28" customFormat="false" ht="12.8" hidden="false" customHeight="false" outlineLevel="0" collapsed="false">
      <c r="B28" s="10"/>
      <c r="C28" s="10" t="s">
        <v>121</v>
      </c>
      <c r="D28" s="10"/>
      <c r="E28" s="10"/>
      <c r="F28" s="10"/>
      <c r="G28" s="10"/>
      <c r="H28" s="10"/>
      <c r="I28" s="10"/>
      <c r="J28" s="10"/>
      <c r="K28" s="10" t="s">
        <v>122</v>
      </c>
    </row>
    <row r="29" customFormat="false" ht="12.8" hidden="false" customHeight="false" outlineLevel="0" collapsed="false">
      <c r="B29" s="10"/>
      <c r="C29" s="10" t="s">
        <v>123</v>
      </c>
      <c r="D29" s="10"/>
      <c r="E29" s="10"/>
      <c r="F29" s="10"/>
      <c r="G29" s="10"/>
      <c r="H29" s="10"/>
      <c r="I29" s="10"/>
      <c r="J29" s="10"/>
      <c r="K29" s="10" t="s">
        <v>124</v>
      </c>
    </row>
    <row r="30" customFormat="false" ht="12.8" hidden="false" customHeight="false" outlineLevel="0" collapsed="false">
      <c r="B30" s="10"/>
      <c r="C30" s="10" t="s">
        <v>125</v>
      </c>
      <c r="D30" s="10"/>
      <c r="E30" s="10" t="s">
        <v>126</v>
      </c>
      <c r="F30" s="10"/>
      <c r="G30" s="10"/>
      <c r="H30" s="10"/>
      <c r="I30" s="10"/>
      <c r="J30" s="10"/>
      <c r="K30" s="10" t="s">
        <v>127</v>
      </c>
    </row>
    <row r="31" customFormat="false" ht="12.8" hidden="false" customHeight="false" outlineLevel="0" collapsed="false">
      <c r="B31" s="10"/>
      <c r="C31" s="10" t="s">
        <v>128</v>
      </c>
      <c r="D31" s="10"/>
      <c r="E31" s="10"/>
      <c r="F31" s="10"/>
      <c r="G31" s="10"/>
      <c r="H31" s="10"/>
      <c r="I31" s="10"/>
      <c r="J31" s="10"/>
      <c r="K31" s="10" t="s">
        <v>129</v>
      </c>
    </row>
    <row r="32" customFormat="false" ht="12.8" hidden="false" customHeight="false" outlineLevel="0" collapsed="false">
      <c r="B32" s="10"/>
      <c r="C32" s="10" t="s">
        <v>130</v>
      </c>
      <c r="D32" s="10"/>
      <c r="E32" s="10"/>
      <c r="F32" s="10"/>
      <c r="G32" s="10"/>
      <c r="H32" s="10"/>
      <c r="I32" s="10"/>
      <c r="J32" s="10"/>
      <c r="K32" s="10" t="s">
        <v>131</v>
      </c>
    </row>
    <row r="33" customFormat="false" ht="12.8" hidden="false" customHeight="false" outlineLevel="0" collapsed="false">
      <c r="B33" s="10"/>
      <c r="C33" s="10" t="s">
        <v>132</v>
      </c>
      <c r="D33" s="10"/>
      <c r="E33" s="10"/>
      <c r="F33" s="10"/>
      <c r="G33" s="10"/>
      <c r="H33" s="10"/>
      <c r="I33" s="10"/>
      <c r="J33" s="10"/>
      <c r="K33" s="10" t="s">
        <v>133</v>
      </c>
    </row>
    <row r="34" customFormat="false" ht="12.8" hidden="false" customHeight="false" outlineLevel="0" collapsed="false">
      <c r="B34" s="10"/>
      <c r="C34" s="10" t="s">
        <v>134</v>
      </c>
      <c r="D34" s="10"/>
      <c r="E34" s="10"/>
      <c r="F34" s="10"/>
      <c r="G34" s="10"/>
      <c r="H34" s="10"/>
      <c r="I34" s="10"/>
      <c r="J34" s="10"/>
      <c r="K34" s="10" t="s">
        <v>135</v>
      </c>
    </row>
    <row r="35" customFormat="false" ht="12.8" hidden="false" customHeight="false" outlineLevel="0" collapsed="false">
      <c r="B35" s="10"/>
      <c r="C35" s="10" t="s">
        <v>136</v>
      </c>
      <c r="D35" s="10"/>
      <c r="E35" s="10" t="s">
        <v>137</v>
      </c>
      <c r="F35" s="10"/>
      <c r="G35" s="10"/>
      <c r="H35" s="10"/>
      <c r="I35" s="10"/>
      <c r="J35" s="10"/>
      <c r="K35" s="10" t="s">
        <v>138</v>
      </c>
    </row>
    <row r="36" customFormat="false" ht="12.8" hidden="false" customHeight="false" outlineLevel="0" collapsed="false">
      <c r="B36" s="10"/>
      <c r="C36" s="10" t="s">
        <v>139</v>
      </c>
      <c r="D36" s="10"/>
      <c r="E36" s="10" t="s">
        <v>69</v>
      </c>
      <c r="F36" s="10"/>
      <c r="G36" s="10"/>
      <c r="H36" s="10"/>
      <c r="I36" s="10"/>
      <c r="J36" s="10"/>
      <c r="K36" s="10" t="s">
        <v>140</v>
      </c>
    </row>
    <row r="37" customFormat="false" ht="12.8" hidden="false" customHeight="false" outlineLevel="0" collapsed="false">
      <c r="B37" s="10"/>
      <c r="C37" s="10" t="s">
        <v>141</v>
      </c>
      <c r="D37" s="10"/>
      <c r="E37" s="10" t="s">
        <v>142</v>
      </c>
      <c r="F37" s="10"/>
      <c r="G37" s="10"/>
      <c r="H37" s="10"/>
      <c r="I37" s="10"/>
      <c r="J37" s="10"/>
      <c r="K37" s="10" t="s">
        <v>143</v>
      </c>
    </row>
    <row r="38" customFormat="false" ht="12.8" hidden="false" customHeight="false" outlineLevel="0" collapsed="false">
      <c r="B38" s="10"/>
      <c r="C38" s="10" t="s">
        <v>144</v>
      </c>
      <c r="D38" s="10"/>
      <c r="E38" s="10"/>
      <c r="F38" s="10"/>
      <c r="G38" s="10"/>
      <c r="H38" s="10"/>
      <c r="I38" s="10"/>
      <c r="J38" s="10"/>
      <c r="K38" s="10" t="s">
        <v>84</v>
      </c>
    </row>
    <row r="39" customFormat="false" ht="12.8" hidden="false" customHeight="false" outlineLevel="0" collapsed="false">
      <c r="B39" s="10"/>
      <c r="C39" s="10" t="s">
        <v>145</v>
      </c>
      <c r="D39" s="10"/>
      <c r="E39" s="10"/>
      <c r="F39" s="10"/>
      <c r="G39" s="10"/>
      <c r="H39" s="10"/>
      <c r="I39" s="10"/>
      <c r="J39" s="10"/>
      <c r="K39" s="10" t="s">
        <v>146</v>
      </c>
    </row>
    <row r="40" customFormat="false" ht="12.8" hidden="false" customHeight="false" outlineLevel="0" collapsed="false">
      <c r="B40" s="10"/>
      <c r="C40" s="10" t="s">
        <v>147</v>
      </c>
      <c r="D40" s="10"/>
      <c r="E40" s="10" t="s">
        <v>148</v>
      </c>
      <c r="F40" s="10"/>
      <c r="G40" s="10"/>
      <c r="H40" s="10"/>
      <c r="I40" s="10"/>
      <c r="J40" s="10"/>
      <c r="K40" s="10" t="s">
        <v>84</v>
      </c>
    </row>
    <row r="41" customFormat="false" ht="12.8" hidden="false" customHeight="false" outlineLevel="0" collapsed="false">
      <c r="B41" s="10"/>
      <c r="C41" s="10" t="s">
        <v>149</v>
      </c>
      <c r="D41" s="10"/>
      <c r="E41" s="10" t="s">
        <v>28</v>
      </c>
      <c r="F41" s="10"/>
      <c r="G41" s="10"/>
      <c r="H41" s="10"/>
      <c r="I41" s="10"/>
      <c r="J41" s="10"/>
      <c r="K41" s="10"/>
    </row>
    <row r="42" customFormat="false" ht="12.8" hidden="false" customHeight="false" outlineLevel="0" collapsed="false">
      <c r="B42" s="10"/>
      <c r="C42" s="10" t="s">
        <v>150</v>
      </c>
      <c r="D42" s="10"/>
      <c r="E42" s="10" t="s">
        <v>28</v>
      </c>
      <c r="F42" s="10"/>
      <c r="G42" s="10"/>
      <c r="H42" s="10"/>
      <c r="I42" s="10"/>
      <c r="J42" s="10"/>
      <c r="K42" s="10"/>
    </row>
    <row r="43" customFormat="false" ht="12.8" hidden="false" customHeight="false" outlineLevel="0" collapsed="false">
      <c r="B43" s="10"/>
      <c r="C43" s="10" t="s">
        <v>151</v>
      </c>
      <c r="D43" s="10"/>
      <c r="E43" s="10" t="s">
        <v>18</v>
      </c>
      <c r="F43" s="10"/>
      <c r="G43" s="10"/>
      <c r="H43" s="10"/>
      <c r="I43" s="10"/>
      <c r="J43" s="10"/>
      <c r="K43" s="10"/>
    </row>
    <row r="44" customFormat="false" ht="12.8" hidden="false" customHeight="false" outlineLevel="0" collapsed="false">
      <c r="B44" s="10"/>
      <c r="C44" s="10" t="s">
        <v>152</v>
      </c>
      <c r="D44" s="10"/>
      <c r="E44" s="10" t="s">
        <v>28</v>
      </c>
      <c r="F44" s="10"/>
      <c r="G44" s="10"/>
      <c r="H44" s="10"/>
      <c r="I44" s="10"/>
      <c r="J44" s="10"/>
      <c r="K44" s="10"/>
    </row>
    <row r="45" customFormat="false" ht="12.8" hidden="false" customHeight="false" outlineLevel="0" collapsed="false">
      <c r="B45" s="10"/>
      <c r="C45" s="10" t="s">
        <v>153</v>
      </c>
      <c r="D45" s="10"/>
      <c r="E45" s="10"/>
      <c r="F45" s="10"/>
      <c r="G45" s="10"/>
      <c r="H45" s="10"/>
      <c r="I45" s="10"/>
      <c r="J45" s="10"/>
      <c r="K45" s="10"/>
    </row>
    <row r="46" customFormat="false" ht="12.8" hidden="false" customHeight="false" outlineLevel="0" collapsed="false">
      <c r="B46" s="10"/>
      <c r="C46" s="10" t="s">
        <v>154</v>
      </c>
      <c r="D46" s="10"/>
      <c r="E46" s="10"/>
      <c r="F46" s="10"/>
      <c r="G46" s="10"/>
      <c r="H46" s="10"/>
      <c r="I46" s="10"/>
      <c r="J46" s="10"/>
      <c r="K46" s="10"/>
    </row>
    <row r="47" customFormat="false" ht="12.8" hidden="false" customHeight="false" outlineLevel="0" collapsed="false">
      <c r="B47" s="10"/>
      <c r="C47" s="10" t="s">
        <v>155</v>
      </c>
      <c r="D47" s="10"/>
      <c r="E47" s="10"/>
      <c r="F47" s="10"/>
      <c r="G47" s="10"/>
      <c r="H47" s="10"/>
      <c r="I47" s="10"/>
      <c r="J47" s="10"/>
      <c r="K47" s="1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11" activeCellId="0" sqref="H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2.4"/>
    <col collapsed="false" customWidth="true" hidden="false" outlineLevel="0" max="4" min="4" style="1" width="17.06"/>
    <col collapsed="false" customWidth="true" hidden="false" outlineLevel="0" max="5" min="5" style="1" width="16.63"/>
    <col collapsed="false" customWidth="true" hidden="false" outlineLevel="0" max="6" min="6" style="1" width="21.18"/>
    <col collapsed="false" customWidth="true" hidden="false" outlineLevel="0" max="8" min="8" style="1" width="27.76"/>
  </cols>
  <sheetData>
    <row r="3" customFormat="false" ht="12.8" hidden="false" customHeight="false" outlineLevel="0" collapsed="false"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</row>
    <row r="4" customFormat="false" ht="12.8" hidden="false" customHeight="false" outlineLevel="0" collapsed="false">
      <c r="B4" s="10"/>
      <c r="C4" s="10"/>
      <c r="D4" s="10"/>
      <c r="E4" s="10"/>
      <c r="F4" s="10"/>
    </row>
    <row r="5" customFormat="false" ht="15" hidden="false" customHeight="false" outlineLevel="0" collapsed="false">
      <c r="B5" s="10"/>
      <c r="C5" s="10"/>
      <c r="D5" s="10"/>
      <c r="E5" s="10"/>
      <c r="F5" s="10"/>
      <c r="H5" s="13" t="s">
        <v>161</v>
      </c>
    </row>
    <row r="6" customFormat="false" ht="12.8" hidden="false" customHeight="false" outlineLevel="0" collapsed="false">
      <c r="B6" s="10"/>
      <c r="C6" s="10"/>
      <c r="D6" s="10"/>
      <c r="E6" s="10"/>
      <c r="F6" s="10"/>
      <c r="H6" s="14" t="s">
        <v>162</v>
      </c>
    </row>
    <row r="7" customFormat="false" ht="12.8" hidden="false" customHeight="false" outlineLevel="0" collapsed="false">
      <c r="B7" s="10"/>
      <c r="C7" s="10"/>
      <c r="D7" s="10"/>
      <c r="E7" s="10"/>
      <c r="F7" s="10"/>
      <c r="H7" s="14" t="s">
        <v>163</v>
      </c>
    </row>
    <row r="8" customFormat="false" ht="12.8" hidden="false" customHeight="false" outlineLevel="0" collapsed="false">
      <c r="B8" s="10"/>
      <c r="C8" s="10"/>
      <c r="D8" s="10"/>
      <c r="E8" s="10"/>
      <c r="F8" s="10"/>
      <c r="H8" s="14" t="s">
        <v>164</v>
      </c>
    </row>
    <row r="9" customFormat="false" ht="12.8" hidden="false" customHeight="false" outlineLevel="0" collapsed="false">
      <c r="B9" s="10"/>
      <c r="C9" s="10"/>
      <c r="D9" s="10"/>
      <c r="E9" s="10"/>
      <c r="F9" s="10"/>
    </row>
    <row r="10" customFormat="false" ht="12.8" hidden="false" customHeight="false" outlineLevel="0" collapsed="false">
      <c r="B10" s="10"/>
      <c r="C10" s="10"/>
      <c r="D10" s="10"/>
      <c r="E10" s="10"/>
      <c r="F10" s="10"/>
    </row>
    <row r="11" customFormat="false" ht="12.8" hidden="false" customHeight="false" outlineLevel="0" collapsed="false">
      <c r="B11" s="10"/>
      <c r="C11" s="10"/>
      <c r="D11" s="10"/>
      <c r="E11" s="10"/>
      <c r="F11" s="10"/>
    </row>
    <row r="12" customFormat="false" ht="12.8" hidden="false" customHeight="false" outlineLevel="0" collapsed="false">
      <c r="B12" s="10"/>
      <c r="C12" s="10"/>
      <c r="D12" s="10"/>
      <c r="E12" s="10"/>
      <c r="F12" s="10"/>
    </row>
    <row r="13" customFormat="false" ht="12.8" hidden="false" customHeight="false" outlineLevel="0" collapsed="false">
      <c r="B13" s="10"/>
      <c r="C13" s="10"/>
      <c r="D13" s="10"/>
      <c r="E13" s="10"/>
      <c r="F13" s="10"/>
    </row>
    <row r="14" customFormat="false" ht="12.8" hidden="false" customHeight="false" outlineLevel="0" collapsed="false">
      <c r="B14" s="10"/>
      <c r="C14" s="10"/>
      <c r="D14" s="10"/>
      <c r="E14" s="10"/>
      <c r="F14" s="10"/>
    </row>
    <row r="15" customFormat="false" ht="12.8" hidden="false" customHeight="false" outlineLevel="0" collapsed="false">
      <c r="B15" s="10"/>
      <c r="C15" s="10"/>
      <c r="D15" s="10"/>
      <c r="E15" s="10"/>
      <c r="F15" s="10"/>
    </row>
    <row r="16" customFormat="false" ht="12.8" hidden="false" customHeight="false" outlineLevel="0" collapsed="false">
      <c r="B16" s="10"/>
      <c r="C16" s="10"/>
      <c r="D16" s="10"/>
      <c r="E16" s="10"/>
      <c r="F16" s="10"/>
    </row>
    <row r="17" customFormat="false" ht="12.8" hidden="false" customHeight="false" outlineLevel="0" collapsed="false">
      <c r="B17" s="10"/>
      <c r="C17" s="10"/>
      <c r="D17" s="10"/>
      <c r="E17" s="10"/>
      <c r="F17" s="10"/>
    </row>
    <row r="18" customFormat="false" ht="12.8" hidden="false" customHeight="false" outlineLevel="0" collapsed="false">
      <c r="B18" s="10"/>
      <c r="C18" s="10"/>
      <c r="D18" s="10"/>
      <c r="E18" s="10"/>
      <c r="F18" s="10"/>
    </row>
    <row r="19" customFormat="false" ht="12.8" hidden="false" customHeight="false" outlineLevel="0" collapsed="false">
      <c r="B19" s="10"/>
      <c r="C19" s="10"/>
      <c r="D19" s="10"/>
      <c r="E19" s="10"/>
      <c r="F19" s="10"/>
    </row>
    <row r="20" customFormat="false" ht="12.8" hidden="false" customHeight="false" outlineLevel="0" collapsed="false">
      <c r="B20" s="10"/>
      <c r="C20" s="10"/>
      <c r="D20" s="10"/>
      <c r="E20" s="10"/>
      <c r="F20" s="10"/>
    </row>
    <row r="21" customFormat="false" ht="12.8" hidden="false" customHeight="false" outlineLevel="0" collapsed="false">
      <c r="B21" s="10"/>
      <c r="C21" s="10"/>
      <c r="D21" s="10"/>
      <c r="E21" s="10"/>
      <c r="F21" s="10"/>
    </row>
    <row r="22" customFormat="false" ht="12.8" hidden="false" customHeight="false" outlineLevel="0" collapsed="false">
      <c r="B22" s="10"/>
      <c r="C22" s="10"/>
      <c r="D22" s="10"/>
      <c r="E22" s="10"/>
      <c r="F22" s="10"/>
    </row>
    <row r="23" customFormat="false" ht="12.8" hidden="false" customHeight="false" outlineLevel="0" collapsed="false">
      <c r="B23" s="10"/>
      <c r="C23" s="10"/>
      <c r="D23" s="10"/>
      <c r="E23" s="10"/>
      <c r="F23" s="10"/>
    </row>
    <row r="24" customFormat="false" ht="12.8" hidden="false" customHeight="false" outlineLevel="0" collapsed="false">
      <c r="B24" s="10"/>
      <c r="C24" s="10"/>
      <c r="D24" s="10"/>
      <c r="E24" s="10"/>
      <c r="F24" s="1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37"/>
  <sheetViews>
    <sheetView showFormulas="false" showGridLines="true" showRowColHeaders="true" showZeros="true" rightToLeft="false" tabSelected="false" showOutlineSymbols="true" defaultGridColor="true" view="normal" topLeftCell="A17" colorId="64" zoomScale="110" zoomScaleNormal="110" zoomScalePageLayoutView="100" workbookViewId="0">
      <selection pane="topLeft" activeCell="B18" activeCellId="0" sqref="B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41"/>
    <col collapsed="false" customWidth="true" hidden="false" outlineLevel="0" max="2" min="2" style="1" width="3"/>
    <col collapsed="false" customWidth="true" hidden="false" outlineLevel="0" max="3" min="3" style="1" width="13.87"/>
  </cols>
  <sheetData>
    <row r="3" customFormat="false" ht="12.8" hidden="false" customHeight="false" outlineLevel="0" collapsed="false">
      <c r="B3" s="5" t="n">
        <v>1</v>
      </c>
      <c r="C3" s="5" t="s">
        <v>165</v>
      </c>
    </row>
    <row r="4" customFormat="false" ht="12.8" hidden="false" customHeight="false" outlineLevel="0" collapsed="false">
      <c r="B4" s="5" t="s">
        <v>166</v>
      </c>
      <c r="C4" s="5" t="s">
        <v>167</v>
      </c>
    </row>
    <row r="5" customFormat="false" ht="12.8" hidden="false" customHeight="false" outlineLevel="0" collapsed="false">
      <c r="C5" s="1" t="s">
        <v>168</v>
      </c>
    </row>
    <row r="6" customFormat="false" ht="12.8" hidden="false" customHeight="false" outlineLevel="0" collapsed="false">
      <c r="C6" s="1" t="s">
        <v>169</v>
      </c>
    </row>
    <row r="8" customFormat="false" ht="12.8" hidden="false" customHeight="false" outlineLevel="0" collapsed="false">
      <c r="B8" s="5" t="s">
        <v>170</v>
      </c>
      <c r="C8" s="5" t="s">
        <v>171</v>
      </c>
    </row>
    <row r="9" customFormat="false" ht="12.8" hidden="false" customHeight="false" outlineLevel="0" collapsed="false">
      <c r="C9" s="1" t="s">
        <v>172</v>
      </c>
    </row>
    <row r="10" customFormat="false" ht="12.8" hidden="false" customHeight="false" outlineLevel="0" collapsed="false">
      <c r="C10" s="15" t="s">
        <v>173</v>
      </c>
    </row>
    <row r="11" customFormat="false" ht="12.8" hidden="false" customHeight="false" outlineLevel="0" collapsed="false">
      <c r="C11" s="1" t="s">
        <v>174</v>
      </c>
    </row>
    <row r="12" customFormat="false" ht="12.8" hidden="false" customHeight="false" outlineLevel="0" collapsed="false">
      <c r="C12" s="1" t="s">
        <v>175</v>
      </c>
    </row>
    <row r="14" customFormat="false" ht="12.8" hidden="false" customHeight="false" outlineLevel="0" collapsed="false">
      <c r="B14" s="5" t="s">
        <v>0</v>
      </c>
      <c r="C14" s="5" t="s">
        <v>176</v>
      </c>
    </row>
    <row r="15" customFormat="false" ht="12.8" hidden="false" customHeight="false" outlineLevel="0" collapsed="false">
      <c r="C15" s="1" t="s">
        <v>177</v>
      </c>
    </row>
    <row r="16" customFormat="false" ht="12.8" hidden="false" customHeight="false" outlineLevel="0" collapsed="false">
      <c r="C16" s="1" t="s">
        <v>178</v>
      </c>
    </row>
    <row r="18" customFormat="false" ht="12.8" hidden="false" customHeight="false" outlineLevel="0" collapsed="false">
      <c r="B18" s="5" t="s">
        <v>179</v>
      </c>
      <c r="C18" s="1" t="s">
        <v>180</v>
      </c>
    </row>
    <row r="19" customFormat="false" ht="12.8" hidden="false" customHeight="false" outlineLevel="0" collapsed="false">
      <c r="C19" s="1" t="s">
        <v>181</v>
      </c>
    </row>
    <row r="22" customFormat="false" ht="12.8" hidden="false" customHeight="false" outlineLevel="0" collapsed="false">
      <c r="B22" s="5" t="n">
        <v>2</v>
      </c>
      <c r="C22" s="5" t="s">
        <v>182</v>
      </c>
    </row>
    <row r="23" customFormat="false" ht="12.8" hidden="false" customHeight="false" outlineLevel="0" collapsed="false">
      <c r="C23" s="16" t="s">
        <v>183</v>
      </c>
    </row>
    <row r="25" customFormat="false" ht="12.8" hidden="false" customHeight="false" outlineLevel="0" collapsed="false">
      <c r="C25" s="5" t="s">
        <v>184</v>
      </c>
      <c r="F25" s="5" t="s">
        <v>185</v>
      </c>
    </row>
    <row r="27" customFormat="false" ht="12.8" hidden="false" customHeight="false" outlineLevel="0" collapsed="false">
      <c r="C27" s="5" t="s">
        <v>186</v>
      </c>
      <c r="F27" s="1" t="s">
        <v>187</v>
      </c>
    </row>
    <row r="28" customFormat="false" ht="12.8" hidden="false" customHeight="false" outlineLevel="0" collapsed="false">
      <c r="F28" s="1" t="s">
        <v>188</v>
      </c>
    </row>
    <row r="30" customFormat="false" ht="12.8" hidden="false" customHeight="false" outlineLevel="0" collapsed="false">
      <c r="C30" s="5" t="s">
        <v>189</v>
      </c>
      <c r="F30" s="1" t="s">
        <v>190</v>
      </c>
    </row>
    <row r="31" customFormat="false" ht="12.8" hidden="false" customHeight="false" outlineLevel="0" collapsed="false">
      <c r="C31" s="5" t="s">
        <v>191</v>
      </c>
      <c r="F31" s="1" t="s">
        <v>192</v>
      </c>
    </row>
    <row r="33" customFormat="false" ht="12.8" hidden="false" customHeight="false" outlineLevel="0" collapsed="false">
      <c r="C33" s="5" t="s">
        <v>193</v>
      </c>
      <c r="F33" s="1" t="s">
        <v>194</v>
      </c>
    </row>
    <row r="34" customFormat="false" ht="12.8" hidden="false" customHeight="false" outlineLevel="0" collapsed="false">
      <c r="F34" s="1" t="s">
        <v>195</v>
      </c>
    </row>
    <row r="36" customFormat="false" ht="12.8" hidden="false" customHeight="false" outlineLevel="0" collapsed="false">
      <c r="C36" s="5" t="s">
        <v>196</v>
      </c>
      <c r="F36" s="1" t="s">
        <v>197</v>
      </c>
    </row>
    <row r="37" customFormat="false" ht="12.8" hidden="false" customHeight="false" outlineLevel="0" collapsed="false">
      <c r="F37" s="1" t="s">
        <v>198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3" activeCellId="0" sqref="D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51"/>
    <col collapsed="false" customWidth="true" hidden="false" outlineLevel="0" max="2" min="2" style="1" width="12.45"/>
    <col collapsed="false" customWidth="true" hidden="false" outlineLevel="0" max="5" min="5" style="1" width="9.76"/>
    <col collapsed="false" customWidth="true" hidden="false" outlineLevel="0" max="6" min="6" style="1" width="8.96"/>
    <col collapsed="false" customWidth="true" hidden="false" outlineLevel="0" max="7" min="7" style="1" width="7.78"/>
    <col collapsed="false" customWidth="true" hidden="false" outlineLevel="0" max="8" min="8" style="1" width="17.88"/>
    <col collapsed="false" customWidth="true" hidden="false" outlineLevel="0" max="10" min="9" style="1" width="9.36"/>
    <col collapsed="false" customWidth="true" hidden="false" outlineLevel="0" max="11" min="11" style="1" width="15.39"/>
    <col collapsed="false" customWidth="true" hidden="false" outlineLevel="0" max="12" min="12" style="1" width="14.42"/>
    <col collapsed="false" customWidth="true" hidden="false" outlineLevel="0" max="13" min="13" style="1" width="14.91"/>
    <col collapsed="false" customWidth="true" hidden="false" outlineLevel="0" max="15" min="15" style="1" width="17.44"/>
    <col collapsed="false" customWidth="true" hidden="false" outlineLevel="0" max="16" min="16" style="1" width="12.02"/>
    <col collapsed="false" customWidth="true" hidden="false" outlineLevel="0" max="17" min="17" style="1" width="13.5"/>
    <col collapsed="false" customWidth="true" hidden="false" outlineLevel="0" max="18" min="18" style="1" width="12.65"/>
    <col collapsed="false" customWidth="true" hidden="false" outlineLevel="0" max="19" min="19" style="1" width="16.89"/>
    <col collapsed="false" customWidth="true" hidden="false" outlineLevel="0" max="20" min="20" style="1" width="14.13"/>
  </cols>
  <sheetData>
    <row r="1" customFormat="false" ht="12.8" hidden="false" customHeight="false" outlineLevel="0" collapsed="false">
      <c r="A1" s="17" t="s">
        <v>199</v>
      </c>
      <c r="B1" s="17"/>
      <c r="C1" s="17"/>
      <c r="D1" s="17"/>
      <c r="E1" s="17"/>
      <c r="F1" s="18" t="s">
        <v>200</v>
      </c>
      <c r="G1" s="18"/>
      <c r="H1" s="18"/>
      <c r="I1" s="18"/>
      <c r="J1" s="18"/>
      <c r="K1" s="19" t="s">
        <v>201</v>
      </c>
      <c r="L1" s="19"/>
      <c r="M1" s="19"/>
      <c r="N1" s="20" t="s">
        <v>202</v>
      </c>
      <c r="O1" s="20"/>
      <c r="P1" s="20"/>
      <c r="Q1" s="20"/>
      <c r="R1" s="20"/>
      <c r="S1" s="21" t="s">
        <v>203</v>
      </c>
      <c r="T1" s="21"/>
    </row>
    <row r="2" customFormat="false" ht="12.8" hidden="false" customHeight="false" outlineLevel="0" collapsed="false">
      <c r="A2" s="4" t="s">
        <v>204</v>
      </c>
      <c r="B2" s="22" t="s">
        <v>205</v>
      </c>
      <c r="C2" s="22" t="s">
        <v>206</v>
      </c>
      <c r="D2" s="22" t="s">
        <v>207</v>
      </c>
      <c r="E2" s="22" t="s">
        <v>208</v>
      </c>
      <c r="F2" s="23" t="s">
        <v>209</v>
      </c>
      <c r="G2" s="23" t="s">
        <v>210</v>
      </c>
      <c r="H2" s="23" t="s">
        <v>211</v>
      </c>
      <c r="I2" s="23" t="s">
        <v>212</v>
      </c>
      <c r="J2" s="23" t="s">
        <v>213</v>
      </c>
      <c r="K2" s="24" t="s">
        <v>214</v>
      </c>
      <c r="L2" s="24" t="s">
        <v>215</v>
      </c>
      <c r="M2" s="24" t="s">
        <v>216</v>
      </c>
      <c r="N2" s="25" t="s">
        <v>217</v>
      </c>
      <c r="O2" s="25" t="s">
        <v>218</v>
      </c>
      <c r="P2" s="25" t="s">
        <v>219</v>
      </c>
      <c r="Q2" s="25" t="s">
        <v>220</v>
      </c>
      <c r="R2" s="25" t="s">
        <v>221</v>
      </c>
      <c r="S2" s="26" t="s">
        <v>222</v>
      </c>
      <c r="T2" s="26" t="s">
        <v>16</v>
      </c>
    </row>
    <row r="3" customFormat="false" ht="12.8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customFormat="false" ht="12.8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customFormat="false" ht="12.8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customFormat="false" ht="12.8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customFormat="false" ht="12.8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customFormat="false" ht="12.8" hidden="false" customHeight="false" outlineLevel="0" collapsed="false">
      <c r="F8" s="27"/>
      <c r="G8" s="27"/>
      <c r="H8" s="27"/>
      <c r="I8" s="27"/>
      <c r="J8" s="27"/>
    </row>
    <row r="9" customFormat="false" ht="12.8" hidden="false" customHeight="false" outlineLevel="0" collapsed="false">
      <c r="F9" s="27"/>
      <c r="G9" s="27"/>
      <c r="H9" s="27"/>
      <c r="I9" s="27"/>
      <c r="J9" s="28"/>
    </row>
    <row r="10" customFormat="false" ht="12.8" hidden="false" customHeight="false" outlineLevel="0" collapsed="false">
      <c r="F10" s="27"/>
      <c r="G10" s="27"/>
      <c r="H10" s="27"/>
      <c r="I10" s="27"/>
      <c r="J10" s="28"/>
    </row>
    <row r="11" customFormat="false" ht="12.8" hidden="false" customHeight="false" outlineLevel="0" collapsed="false">
      <c r="F11" s="27"/>
      <c r="G11" s="27"/>
      <c r="H11" s="27"/>
      <c r="I11" s="27"/>
      <c r="J11" s="28"/>
    </row>
    <row r="12" customFormat="false" ht="12.8" hidden="false" customHeight="false" outlineLevel="0" collapsed="false">
      <c r="F12" s="27"/>
      <c r="G12" s="27"/>
      <c r="H12" s="27"/>
      <c r="I12" s="27"/>
      <c r="J12" s="28"/>
    </row>
    <row r="13" customFormat="false" ht="12.8" hidden="false" customHeight="false" outlineLevel="0" collapsed="false">
      <c r="F13" s="27"/>
      <c r="G13" s="27"/>
      <c r="H13" s="27"/>
      <c r="I13" s="27"/>
      <c r="J13" s="28"/>
    </row>
    <row r="14" customFormat="false" ht="12.8" hidden="false" customHeight="false" outlineLevel="0" collapsed="false">
      <c r="F14" s="27"/>
      <c r="G14" s="27"/>
      <c r="H14" s="27"/>
      <c r="I14" s="27"/>
      <c r="J14" s="28"/>
    </row>
    <row r="15" customFormat="false" ht="37.3" hidden="false" customHeight="false" outlineLevel="0" collapsed="false">
      <c r="J15" s="29"/>
      <c r="N15" s="30"/>
    </row>
    <row r="16" customFormat="false" ht="12.8" hidden="false" customHeight="false" outlineLevel="0" collapsed="false">
      <c r="J16" s="29"/>
      <c r="N16" s="29"/>
    </row>
    <row r="17" customFormat="false" ht="12.8" hidden="false" customHeight="false" outlineLevel="0" collapsed="false">
      <c r="J17" s="29"/>
      <c r="N17" s="29"/>
    </row>
    <row r="18" customFormat="false" ht="12.8" hidden="false" customHeight="false" outlineLevel="0" collapsed="false">
      <c r="J18" s="29"/>
      <c r="N18" s="29"/>
    </row>
    <row r="19" customFormat="false" ht="13.8" hidden="false" customHeight="false" outlineLevel="0" collapsed="false">
      <c r="J19" s="30"/>
    </row>
  </sheetData>
  <mergeCells count="5">
    <mergeCell ref="A1:E1"/>
    <mergeCell ref="F1:J1"/>
    <mergeCell ref="K1:M1"/>
    <mergeCell ref="N1:R1"/>
    <mergeCell ref="S1:T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2026-04-11T22:44:58Z</dcterms:created>
  <dc:creator/>
  <dc:description/>
  <dc:language>es-ES</dc:language>
  <cp:lastModifiedBy/>
  <dcterms:modified xsi:type="dcterms:W3CDTF">2026-09-11T22:12:27Z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